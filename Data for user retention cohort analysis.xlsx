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 table" sheetId="2" r:id="rId6"/>
    <sheet state="visible" name="Colculatoins" sheetId="3" r:id="rId7"/>
  </sheets>
  <definedNames>
    <definedName hidden="1" localSheetId="0" name="Z_4C15D21D_1B69_4E04_954E_7C5142308A3F_.wvu.FilterData">Data!$A$1:$D$50</definedName>
    <definedName name="SlicerCache_Table_1_Col_1">#N/A</definedName>
  </definedNames>
  <calcPr/>
  <customWorkbookViews>
    <customWorkbookView activeSheetId="0" maximized="1" windowHeight="0" windowWidth="0" guid="{4C15D21D-1B69-4E04-954E-7C5142308A3F}"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<sst xmlns="http://schemas.openxmlformats.org/spreadsheetml/2006/main" count="12" uniqueCount="8">
  <si>
    <t>promo_signup_flag</t>
  </si>
  <si>
    <t>cohort_month</t>
  </si>
  <si>
    <t>month_offset</t>
  </si>
  <si>
    <t>user_total</t>
  </si>
  <si>
    <t>SUM of user_total</t>
  </si>
  <si>
    <t>Grand Total</t>
  </si>
  <si>
    <t>Висновок</t>
  </si>
  <si>
    <t xml:space="preserve">Порівняння когорт показує, що за обраний період через промо прийшло менше користувачів, ніж було залучено органічно. 
При цьому органічні клієнти показують кращі показники залученості та утримання. Retention 1-го місяця тримається вище 73%, а до 3-го місяця залишається не менше 74% аудиторії. Окремої увагу заслуговують показники березня, які сягнули 94%. 
Клієнти, залучені з реклами та акцій показують гірші результати. Їх кількість стрімко падає вже в перші місяці. 
Це говорить про те, що в даному випадку для бізнесу вигідніші саме органічні клієнти, бо вони є безкоштовними для залучення та ще й довше користуються продуктом за часом. Рекомендовано переглянути платне залучення клієнтів, бо наразі воно акумулює неякісних користувачів.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</si>
</sst>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D9D9D9"/>
        <bgColor rgb="FFD9D9D9"/>
      </patternFill>
    </fill>
    <fill>
      <patternFill patternType="solid">
        <fgColor rgb="FFEFEFEF"/>
        <bgColor rgb="FFEFEFEF"/>
      </patternFill>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4" xfId="0" applyFont="1" applyNumberFormat="1"/>
    <xf borderId="0" fillId="2" fontId="1" numFmtId="0" xfId="0" applyFill="1" applyFont="1"/>
    <xf borderId="0" fillId="3" fontId="1" numFmtId="164" xfId="0" applyFill="1" applyFont="1" applyNumberFormat="1"/>
    <xf borderId="0" fillId="0" fontId="1" numFmtId="9" xfId="0" applyFont="1" applyNumberFormat="1"/>
    <xf borderId="1" fillId="0" fontId="2" numFmtId="0" xfId="0" applyAlignment="1" applyBorder="1" applyFont="1">
      <alignment horizontal="center" readingOrder="0" vertical="center"/>
    </xf>
    <xf borderId="2" fillId="0" fontId="1" numFmtId="0" xfId="0" applyAlignment="1" applyBorder="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209550</xdr:colOff>
      <xdr:row>0</xdr:row>
      <xdr:rowOff>180975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0">
      <sharedItems containsSemiMixedTypes="0" containsString="0" containsNumber="1" containsInteger="1">
        <n v="0.0"/>
        <n v="1.0"/>
        <n v="2.0"/>
        <n v="3.0"/>
        <n v="4.0"/>
        <n v="5.0"/>
      </sharedItems>
    </cacheField>
    <cacheField name="user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 table" cacheId="0" dataCaption="" compact="0" compactData="0">
  <location ref="A1:H9" firstHeaderRow="0" firstDataRow="1" firstDataCol="1"/>
  <pivotFields>
    <pivotField name="promo_signup_flag" compact="0"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50" displayName="Table_1" name="Table_1" id="1">
  <autoFilter ref="$A$1:$D$50"/>
  <tableColumns count="4">
    <tableColumn name="promo_signup_flag" id="1"/>
    <tableColumn name="cohort_month" id="2"/>
    <tableColumn name="month_offset" id="3"/>
    <tableColumn name="user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2">
        <v>45658.0</v>
      </c>
      <c r="C2" s="1">
        <v>0.0</v>
      </c>
      <c r="D2" s="1">
        <v>70.0</v>
      </c>
    </row>
    <row r="3">
      <c r="A3" s="1">
        <v>0.0</v>
      </c>
      <c r="B3" s="2">
        <v>45658.0</v>
      </c>
      <c r="C3" s="1">
        <v>1.0</v>
      </c>
      <c r="D3" s="1">
        <v>58.0</v>
      </c>
    </row>
    <row r="4">
      <c r="A4" s="1">
        <v>0.0</v>
      </c>
      <c r="B4" s="2">
        <v>45658.0</v>
      </c>
      <c r="C4" s="1">
        <v>2.0</v>
      </c>
      <c r="D4" s="1">
        <v>54.0</v>
      </c>
    </row>
    <row r="5">
      <c r="A5" s="1">
        <v>0.0</v>
      </c>
      <c r="B5" s="2">
        <v>45658.0</v>
      </c>
      <c r="C5" s="1">
        <v>3.0</v>
      </c>
      <c r="D5" s="1">
        <v>52.0</v>
      </c>
    </row>
    <row r="6">
      <c r="A6" s="1">
        <v>0.0</v>
      </c>
      <c r="B6" s="2">
        <v>45658.0</v>
      </c>
      <c r="C6" s="1">
        <v>4.0</v>
      </c>
      <c r="D6" s="1">
        <v>43.0</v>
      </c>
    </row>
    <row r="7">
      <c r="A7" s="1">
        <v>0.0</v>
      </c>
      <c r="B7" s="2">
        <v>45658.0</v>
      </c>
      <c r="C7" s="1">
        <v>5.0</v>
      </c>
      <c r="D7" s="1">
        <v>39.0</v>
      </c>
    </row>
    <row r="8">
      <c r="A8" s="1">
        <v>0.0</v>
      </c>
      <c r="B8" s="2">
        <v>45689.0</v>
      </c>
      <c r="C8" s="1">
        <v>0.0</v>
      </c>
      <c r="D8" s="1">
        <v>63.0</v>
      </c>
    </row>
    <row r="9">
      <c r="A9" s="1">
        <v>0.0</v>
      </c>
      <c r="B9" s="2">
        <v>45689.0</v>
      </c>
      <c r="C9" s="1">
        <v>1.0</v>
      </c>
      <c r="D9" s="1">
        <v>46.0</v>
      </c>
    </row>
    <row r="10">
      <c r="A10" s="1">
        <v>0.0</v>
      </c>
      <c r="B10" s="2">
        <v>45689.0</v>
      </c>
      <c r="C10" s="1">
        <v>2.0</v>
      </c>
      <c r="D10" s="1">
        <v>48.0</v>
      </c>
    </row>
    <row r="11">
      <c r="A11" s="1">
        <v>0.0</v>
      </c>
      <c r="B11" s="2">
        <v>45689.0</v>
      </c>
      <c r="C11" s="1">
        <v>3.0</v>
      </c>
      <c r="D11" s="1">
        <v>49.0</v>
      </c>
    </row>
    <row r="12">
      <c r="A12" s="1">
        <v>0.0</v>
      </c>
      <c r="B12" s="2">
        <v>45689.0</v>
      </c>
      <c r="C12" s="1">
        <v>4.0</v>
      </c>
      <c r="D12" s="1">
        <v>43.0</v>
      </c>
    </row>
    <row r="13">
      <c r="A13" s="1">
        <v>0.0</v>
      </c>
      <c r="B13" s="2">
        <v>45717.0</v>
      </c>
      <c r="C13" s="1">
        <v>0.0</v>
      </c>
      <c r="D13" s="1">
        <v>51.0</v>
      </c>
    </row>
    <row r="14">
      <c r="A14" s="1">
        <v>0.0</v>
      </c>
      <c r="B14" s="2">
        <v>45717.0</v>
      </c>
      <c r="C14" s="1">
        <v>1.0</v>
      </c>
      <c r="D14" s="1">
        <v>41.0</v>
      </c>
    </row>
    <row r="15">
      <c r="A15" s="1">
        <v>0.0</v>
      </c>
      <c r="B15" s="2">
        <v>45717.0</v>
      </c>
      <c r="C15" s="1">
        <v>2.0</v>
      </c>
      <c r="D15" s="1">
        <v>47.0</v>
      </c>
    </row>
    <row r="16">
      <c r="A16" s="1">
        <v>0.0</v>
      </c>
      <c r="B16" s="2">
        <v>45717.0</v>
      </c>
      <c r="C16" s="1">
        <v>3.0</v>
      </c>
      <c r="D16" s="1">
        <v>41.0</v>
      </c>
    </row>
    <row r="17">
      <c r="A17" s="1">
        <v>0.0</v>
      </c>
      <c r="B17" s="2">
        <v>45748.0</v>
      </c>
      <c r="C17" s="1">
        <v>0.0</v>
      </c>
      <c r="D17" s="1">
        <v>61.0</v>
      </c>
    </row>
    <row r="18">
      <c r="A18" s="1">
        <v>0.0</v>
      </c>
      <c r="B18" s="2">
        <v>45748.0</v>
      </c>
      <c r="C18" s="1">
        <v>1.0</v>
      </c>
      <c r="D18" s="1">
        <v>50.0</v>
      </c>
    </row>
    <row r="19">
      <c r="A19" s="1">
        <v>0.0</v>
      </c>
      <c r="B19" s="2">
        <v>45748.0</v>
      </c>
      <c r="C19" s="1">
        <v>2.0</v>
      </c>
      <c r="D19" s="1">
        <v>47.0</v>
      </c>
    </row>
    <row r="20">
      <c r="A20" s="1">
        <v>0.0</v>
      </c>
      <c r="B20" s="2">
        <v>45778.0</v>
      </c>
      <c r="C20" s="1">
        <v>0.0</v>
      </c>
      <c r="D20" s="1">
        <v>63.0</v>
      </c>
    </row>
    <row r="21">
      <c r="A21" s="1">
        <v>0.0</v>
      </c>
      <c r="B21" s="2">
        <v>45778.0</v>
      </c>
      <c r="C21" s="1">
        <v>1.0</v>
      </c>
      <c r="D21" s="1">
        <v>55.0</v>
      </c>
    </row>
    <row r="22">
      <c r="A22" s="1">
        <v>0.0</v>
      </c>
      <c r="B22" s="2">
        <v>45809.0</v>
      </c>
      <c r="C22" s="1">
        <v>0.0</v>
      </c>
      <c r="D22" s="1">
        <v>50.0</v>
      </c>
    </row>
    <row r="23">
      <c r="A23" s="1">
        <v>1.0</v>
      </c>
      <c r="B23" s="2">
        <v>45658.0</v>
      </c>
      <c r="C23" s="1">
        <v>0.0</v>
      </c>
      <c r="D23" s="1">
        <v>34.0</v>
      </c>
    </row>
    <row r="24">
      <c r="A24" s="1">
        <v>1.0</v>
      </c>
      <c r="B24" s="2">
        <v>45658.0</v>
      </c>
      <c r="C24" s="1">
        <v>1.0</v>
      </c>
      <c r="D24" s="1">
        <v>21.0</v>
      </c>
    </row>
    <row r="25">
      <c r="A25" s="1">
        <v>1.0</v>
      </c>
      <c r="B25" s="2">
        <v>45658.0</v>
      </c>
      <c r="C25" s="1">
        <v>2.0</v>
      </c>
      <c r="D25" s="1">
        <v>17.0</v>
      </c>
    </row>
    <row r="26">
      <c r="A26" s="1">
        <v>1.0</v>
      </c>
      <c r="B26" s="2">
        <v>45658.0</v>
      </c>
      <c r="C26" s="1">
        <v>3.0</v>
      </c>
      <c r="D26" s="1">
        <v>3.0</v>
      </c>
    </row>
    <row r="27">
      <c r="A27" s="1">
        <v>1.0</v>
      </c>
      <c r="B27" s="2">
        <v>45658.0</v>
      </c>
      <c r="C27" s="1">
        <v>4.0</v>
      </c>
      <c r="D27" s="1">
        <v>6.0</v>
      </c>
    </row>
    <row r="28">
      <c r="A28" s="1">
        <v>1.0</v>
      </c>
      <c r="B28" s="2">
        <v>45658.0</v>
      </c>
      <c r="C28" s="1">
        <v>5.0</v>
      </c>
      <c r="D28" s="1">
        <v>3.0</v>
      </c>
    </row>
    <row r="29">
      <c r="A29" s="1">
        <v>1.0</v>
      </c>
      <c r="B29" s="2">
        <v>45689.0</v>
      </c>
      <c r="C29" s="1">
        <v>0.0</v>
      </c>
      <c r="D29" s="1">
        <v>41.0</v>
      </c>
    </row>
    <row r="30">
      <c r="A30" s="1">
        <v>1.0</v>
      </c>
      <c r="B30" s="2">
        <v>45689.0</v>
      </c>
      <c r="C30" s="1">
        <v>1.0</v>
      </c>
      <c r="D30" s="1">
        <v>24.0</v>
      </c>
    </row>
    <row r="31">
      <c r="A31" s="1">
        <v>1.0</v>
      </c>
      <c r="B31" s="2">
        <v>45689.0</v>
      </c>
      <c r="C31" s="1">
        <v>2.0</v>
      </c>
      <c r="D31" s="1">
        <v>17.0</v>
      </c>
    </row>
    <row r="32">
      <c r="A32" s="1">
        <v>1.0</v>
      </c>
      <c r="B32" s="2">
        <v>45689.0</v>
      </c>
      <c r="C32" s="1">
        <v>3.0</v>
      </c>
      <c r="D32" s="1">
        <v>13.0</v>
      </c>
    </row>
    <row r="33">
      <c r="A33" s="1">
        <v>1.0</v>
      </c>
      <c r="B33" s="2">
        <v>45689.0</v>
      </c>
      <c r="C33" s="1">
        <v>4.0</v>
      </c>
      <c r="D33" s="1">
        <v>8.0</v>
      </c>
    </row>
    <row r="34">
      <c r="A34" s="1">
        <v>1.0</v>
      </c>
      <c r="B34" s="2">
        <v>45717.0</v>
      </c>
      <c r="C34" s="1">
        <v>0.0</v>
      </c>
      <c r="D34" s="1">
        <v>31.0</v>
      </c>
    </row>
    <row r="35">
      <c r="A35" s="1">
        <v>1.0</v>
      </c>
      <c r="B35" s="2">
        <v>45717.0</v>
      </c>
      <c r="C35" s="1">
        <v>1.0</v>
      </c>
      <c r="D35" s="1">
        <v>18.0</v>
      </c>
    </row>
    <row r="36">
      <c r="A36" s="1">
        <v>1.0</v>
      </c>
      <c r="B36" s="2">
        <v>45717.0</v>
      </c>
      <c r="C36" s="1">
        <v>2.0</v>
      </c>
      <c r="D36" s="1">
        <v>14.0</v>
      </c>
    </row>
    <row r="37">
      <c r="A37" s="1">
        <v>1.0</v>
      </c>
      <c r="B37" s="2">
        <v>45717.0</v>
      </c>
      <c r="C37" s="1">
        <v>3.0</v>
      </c>
      <c r="D37" s="1">
        <v>11.0</v>
      </c>
    </row>
    <row r="38">
      <c r="A38" s="1">
        <v>1.0</v>
      </c>
      <c r="B38" s="2">
        <v>45748.0</v>
      </c>
      <c r="C38" s="1">
        <v>0.0</v>
      </c>
      <c r="D38" s="1">
        <v>44.0</v>
      </c>
    </row>
    <row r="39">
      <c r="A39" s="1">
        <v>1.0</v>
      </c>
      <c r="B39" s="2">
        <v>45748.0</v>
      </c>
      <c r="C39" s="1">
        <v>1.0</v>
      </c>
      <c r="D39" s="1">
        <v>24.0</v>
      </c>
    </row>
    <row r="40">
      <c r="A40" s="1">
        <v>1.0</v>
      </c>
      <c r="B40" s="2">
        <v>45748.0</v>
      </c>
      <c r="C40" s="1">
        <v>2.0</v>
      </c>
      <c r="D40" s="1">
        <v>14.0</v>
      </c>
    </row>
    <row r="41">
      <c r="A41" s="1">
        <v>1.0</v>
      </c>
      <c r="B41" s="2">
        <v>45778.0</v>
      </c>
      <c r="C41" s="1">
        <v>0.0</v>
      </c>
      <c r="D41" s="1">
        <v>45.0</v>
      </c>
    </row>
    <row r="42">
      <c r="A42" s="1">
        <v>1.0</v>
      </c>
      <c r="B42" s="2">
        <v>45778.0</v>
      </c>
      <c r="C42" s="1">
        <v>1.0</v>
      </c>
      <c r="D42" s="1">
        <v>21.0</v>
      </c>
    </row>
    <row r="43">
      <c r="A43" s="1">
        <v>1.0</v>
      </c>
      <c r="B43" s="2">
        <v>45809.0</v>
      </c>
      <c r="C43" s="1">
        <v>0.0</v>
      </c>
      <c r="D43" s="1">
        <v>47.0</v>
      </c>
    </row>
  </sheetData>
  <customSheetViews>
    <customSheetView guid="{4C15D21D-1B69-4E04-954E-7C5142308A3F}" filter="1" showAutoFilter="1">
      <autoFilter ref="$A$1:$D$5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8" max="8" width="18.75"/>
  </cols>
  <sheetData>
    <row r="1"/>
    <row r="2"/>
    <row r="3"/>
    <row r="4"/>
    <row r="5"/>
    <row r="6"/>
    <row r="7"/>
    <row r="8"/>
    <row r="9"/>
    <row r="12">
      <c r="A12" s="5" t="s">
        <v>1</v>
      </c>
      <c r="B12" s="5">
        <v>0.0</v>
      </c>
      <c r="C12" s="5">
        <v>1.0</v>
      </c>
      <c r="D12" s="5">
        <v>2.0</v>
      </c>
      <c r="E12" s="5">
        <v>3.0</v>
      </c>
      <c r="F12" s="5">
        <v>4.0</v>
      </c>
      <c r="G12" s="5">
        <v>5.0</v>
      </c>
    </row>
    <row r="13">
      <c r="A13" s="6">
        <v>45658.0</v>
      </c>
      <c r="B13" s="7">
        <f t="shared" ref="B13:G13" si="1">IF(B3="","",B3/$B3)</f>
        <v>1</v>
      </c>
      <c r="C13" s="7">
        <f t="shared" si="1"/>
        <v>0.7596153846</v>
      </c>
      <c r="D13" s="7">
        <f t="shared" si="1"/>
        <v>0.6826923077</v>
      </c>
      <c r="E13" s="7">
        <f t="shared" si="1"/>
        <v>0.5288461538</v>
      </c>
      <c r="F13" s="7">
        <f t="shared" si="1"/>
        <v>0.4711538462</v>
      </c>
      <c r="G13" s="7">
        <f t="shared" si="1"/>
        <v>0.4038461538</v>
      </c>
    </row>
    <row r="14">
      <c r="A14" s="6">
        <v>45689.0</v>
      </c>
      <c r="B14" s="7">
        <f t="shared" ref="B14:G14" si="2">IF(B4="","",B4/$B4)</f>
        <v>1</v>
      </c>
      <c r="C14" s="7">
        <f t="shared" si="2"/>
        <v>0.6730769231</v>
      </c>
      <c r="D14" s="7">
        <f t="shared" si="2"/>
        <v>0.625</v>
      </c>
      <c r="E14" s="7">
        <f t="shared" si="2"/>
        <v>0.5961538462</v>
      </c>
      <c r="F14" s="7">
        <f t="shared" si="2"/>
        <v>0.4903846154</v>
      </c>
      <c r="G14" s="7" t="str">
        <f t="shared" si="2"/>
        <v/>
      </c>
    </row>
    <row r="15">
      <c r="A15" s="6">
        <v>45717.0</v>
      </c>
      <c r="B15" s="7">
        <f t="shared" ref="B15:G15" si="3">IF(B5="","",B5/$B5)</f>
        <v>1</v>
      </c>
      <c r="C15" s="7">
        <f t="shared" si="3"/>
        <v>0.7195121951</v>
      </c>
      <c r="D15" s="7">
        <f t="shared" si="3"/>
        <v>0.743902439</v>
      </c>
      <c r="E15" s="7">
        <f t="shared" si="3"/>
        <v>0.6341463415</v>
      </c>
      <c r="F15" s="7" t="str">
        <f t="shared" si="3"/>
        <v/>
      </c>
      <c r="G15" s="7" t="str">
        <f t="shared" si="3"/>
        <v/>
      </c>
    </row>
    <row r="16">
      <c r="A16" s="6">
        <v>45748.0</v>
      </c>
      <c r="B16" s="7">
        <f t="shared" ref="B16:G16" si="4">IF(B6="","",B6/$B6)</f>
        <v>1</v>
      </c>
      <c r="C16" s="7">
        <f t="shared" si="4"/>
        <v>0.7047619048</v>
      </c>
      <c r="D16" s="7">
        <f t="shared" si="4"/>
        <v>0.580952381</v>
      </c>
      <c r="E16" s="7" t="str">
        <f t="shared" si="4"/>
        <v/>
      </c>
      <c r="F16" s="7" t="str">
        <f t="shared" si="4"/>
        <v/>
      </c>
      <c r="G16" s="7" t="str">
        <f t="shared" si="4"/>
        <v/>
      </c>
    </row>
    <row r="17">
      <c r="A17" s="6">
        <v>45778.0</v>
      </c>
      <c r="B17" s="7">
        <f t="shared" ref="B17:G17" si="5">IF(B7="","",B7/$B7)</f>
        <v>1</v>
      </c>
      <c r="C17" s="7">
        <f t="shared" si="5"/>
        <v>0.7037037037</v>
      </c>
      <c r="D17" s="7" t="str">
        <f t="shared" si="5"/>
        <v/>
      </c>
      <c r="E17" s="7" t="str">
        <f t="shared" si="5"/>
        <v/>
      </c>
      <c r="F17" s="7" t="str">
        <f t="shared" si="5"/>
        <v/>
      </c>
      <c r="G17" s="7" t="str">
        <f t="shared" si="5"/>
        <v/>
      </c>
    </row>
    <row r="18">
      <c r="A18" s="6">
        <v>45809.0</v>
      </c>
      <c r="B18" s="7">
        <f t="shared" ref="B18:G18" si="6">IF(B8="","",B8/$B8)</f>
        <v>1</v>
      </c>
      <c r="C18" s="7" t="str">
        <f t="shared" si="6"/>
        <v/>
      </c>
      <c r="D18" s="7" t="str">
        <f t="shared" si="6"/>
        <v/>
      </c>
      <c r="E18" s="7" t="str">
        <f t="shared" si="6"/>
        <v/>
      </c>
      <c r="F18" s="7" t="str">
        <f t="shared" si="6"/>
        <v/>
      </c>
      <c r="G18" s="7" t="str">
        <f t="shared" si="6"/>
        <v/>
      </c>
    </row>
  </sheetData>
  <conditionalFormatting sqref="B3:G8">
    <cfRule type="colorScale" priority="1">
      <colorScale>
        <cfvo type="min"/>
        <cfvo type="max"/>
        <color rgb="FFFFFFFF"/>
        <color rgb="FF57BB8A"/>
      </colorScale>
    </cfRule>
  </conditionalFormatting>
  <conditionalFormatting sqref="B13:G18">
    <cfRule type="colorScale" priority="2">
      <colorScale>
        <cfvo type="min"/>
        <cfvo type="percentile" val="50"/>
        <cfvo type="max"/>
        <color rgb="FFE67C73"/>
        <color rgb="FFFFFFFF"/>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62.75"/>
  </cols>
  <sheetData>
    <row r="1" ht="217.5" customHeight="1">
      <c r="A1" s="8" t="s">
        <v>6</v>
      </c>
      <c r="B1" s="9" t="s">
        <v>7</v>
      </c>
    </row>
  </sheetData>
  <drawing r:id="rId1"/>
</worksheet>
</file>